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EC9A4FFB-959F-495D-BB6E-0164E4CB02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" i="1"/>
</calcChain>
</file>

<file path=xl/sharedStrings.xml><?xml version="1.0" encoding="utf-8"?>
<sst xmlns="http://schemas.openxmlformats.org/spreadsheetml/2006/main" count="276" uniqueCount="114">
  <si>
    <t>DisplayName</t>
  </si>
  <si>
    <t>UPN</t>
  </si>
  <si>
    <t>Action</t>
  </si>
  <si>
    <t>Status</t>
  </si>
  <si>
    <t>UserId</t>
  </si>
  <si>
    <t>EmployeeHireDate</t>
  </si>
  <si>
    <t>Group Assignments</t>
  </si>
  <si>
    <t>License</t>
  </si>
  <si>
    <t>Device</t>
  </si>
  <si>
    <t>Andres Cruz</t>
  </si>
  <si>
    <t>acruz@erock.com</t>
  </si>
  <si>
    <t>Created</t>
  </si>
  <si>
    <t>Success</t>
  </si>
  <si>
    <t>42b5dad4-5a45-43aa-af54-70b2abef0cd9</t>
  </si>
  <si>
    <t>2026-09-22</t>
  </si>
  <si>
    <t>Dynamics 365 Business Central Device Users</t>
  </si>
  <si>
    <t>N/A</t>
  </si>
  <si>
    <t>Andrew Pena</t>
  </si>
  <si>
    <t>apena@erock.com</t>
  </si>
  <si>
    <t>2f369bc4-e82d-46e5-b191-595c7f44af51</t>
  </si>
  <si>
    <t>Daniel Cardenas</t>
  </si>
  <si>
    <t>dcardenas@erock.com</t>
  </si>
  <si>
    <t>c313b37a-aec6-4ed4-bd9d-6fb1f6dda2b9</t>
  </si>
  <si>
    <t>Microsoft 365 E5</t>
  </si>
  <si>
    <t>Laptop</t>
  </si>
  <si>
    <t>David Carns</t>
  </si>
  <si>
    <t>dcarns@erock.com</t>
  </si>
  <si>
    <t>78087ab1-6701-4255-a72c-1a0494b8c230</t>
  </si>
  <si>
    <t>James Meleski</t>
  </si>
  <si>
    <t>jmeleski@erock.com</t>
  </si>
  <si>
    <t>53c129c9-a676-472f-96d1-d033e1bb7b26</t>
  </si>
  <si>
    <t>Raven Williams</t>
  </si>
  <si>
    <t>rwilliams@erock.com</t>
  </si>
  <si>
    <t>1485314c-1ef4-4d78-8237-75330219db7c</t>
  </si>
  <si>
    <t>Ricardo G Ortega Jr.</t>
  </si>
  <si>
    <t>rgortega@erock.com</t>
  </si>
  <si>
    <t>0bb0b22d-759e-4afb-a10c-0a4815878bf4</t>
  </si>
  <si>
    <t>Terrance North</t>
  </si>
  <si>
    <t>tnorth@erock.com</t>
  </si>
  <si>
    <t>295a58ec-2a36-4d95-a8d7-526418075ce7</t>
  </si>
  <si>
    <t>Alex Arroyo</t>
  </si>
  <si>
    <t>aarroyo@erock.com</t>
  </si>
  <si>
    <t>Skipped</t>
  </si>
  <si>
    <t>Already exists</t>
  </si>
  <si>
    <t>c365b7d7-aafa-4960-9b03-fe895f7fe4b4</t>
  </si>
  <si>
    <t>Bernard Pettaway</t>
  </si>
  <si>
    <t>bpettaway@erock.com</t>
  </si>
  <si>
    <t>4cc22537-ee12-47eb-8552-4915bed0cf62</t>
  </si>
  <si>
    <t>Eric Nino</t>
  </si>
  <si>
    <t>enino@erock.com</t>
  </si>
  <si>
    <t>a7992f05-6883-4d00-bfce-ae74d77f352e</t>
  </si>
  <si>
    <t>Joseph Penaloza Gomez</t>
  </si>
  <si>
    <t>jpgomez@erock.com</t>
  </si>
  <si>
    <t>1a7120af-a11c-48a5-8e5e-9af3345c2bf3</t>
  </si>
  <si>
    <t>Sami Almuhtadi</t>
  </si>
  <si>
    <t>salmuhtadi@erock.com</t>
  </si>
  <si>
    <t>e0b741fe-98e0-45cb-99fa-bdbc2fa1bf56</t>
  </si>
  <si>
    <t>Carlton Ingram</t>
  </si>
  <si>
    <t>cingram@erock.com</t>
  </si>
  <si>
    <t>05b460bc-9db7-493c-a1bf-7ff50a697a9b</t>
  </si>
  <si>
    <t>Terrell Norris</t>
  </si>
  <si>
    <t>tnorris@erock.com</t>
  </si>
  <si>
    <t>72520a94-12a2-40b1-872e-9371ff5f72a5</t>
  </si>
  <si>
    <t>George R Giles IV</t>
  </si>
  <si>
    <t>grgiles4@erock.com</t>
  </si>
  <si>
    <t>6ab7995d-e828-4a32-b1a2-206ffab999a7</t>
  </si>
  <si>
    <t>Jonathan Bedolla</t>
  </si>
  <si>
    <t>jbedolla@erock.com</t>
  </si>
  <si>
    <t>4beb0e70-1a7c-4093-8921-6a47ab55fa1d</t>
  </si>
  <si>
    <t>Jonathan Huddleston</t>
  </si>
  <si>
    <t>jhuddleston@erock.com</t>
  </si>
  <si>
    <t>475237ac-ca7e-4822-864b-579edf68e0ff</t>
  </si>
  <si>
    <t>Pedro Candelo Rodriguez</t>
  </si>
  <si>
    <t>pcrodriguez@erock.com</t>
  </si>
  <si>
    <t>3997ec9b-6a83-414c-bbd3-f4ccd50dfabd</t>
  </si>
  <si>
    <t>Thomas Oai Nguyen</t>
  </si>
  <si>
    <t>tonguyen@erock.com</t>
  </si>
  <si>
    <t>f1add7d9-4966-4e8b-a64a-b5dec17bee64</t>
  </si>
  <si>
    <t>Abby Pathoummahong</t>
  </si>
  <si>
    <t>apathoummahong@erock.com</t>
  </si>
  <si>
    <t>e4af11d2-0950-4931-9831-fca19e243080</t>
  </si>
  <si>
    <t>Alnealia Marie King</t>
  </si>
  <si>
    <t>amking@erock.com</t>
  </si>
  <si>
    <t>19cbd4b9-b862-4e51-b5d9-d92616d5c689</t>
  </si>
  <si>
    <t>Carlos Peley Quintero</t>
  </si>
  <si>
    <t>cpquintero@erock.com</t>
  </si>
  <si>
    <t>510dbe49-214e-4756-9930-4b351ebb77e1</t>
  </si>
  <si>
    <t>Dayana Celis</t>
  </si>
  <si>
    <t>dcelis@erock.com</t>
  </si>
  <si>
    <t>a6e54ea3-de56-4198-82c1-13aad45125c7</t>
  </si>
  <si>
    <t>Keenan Clarke</t>
  </si>
  <si>
    <t>kclarke@erock.com</t>
  </si>
  <si>
    <t>b1ed43dc-c895-4532-b03b-4431fb126bf7</t>
  </si>
  <si>
    <t>Rogelio Flores</t>
  </si>
  <si>
    <t>rflores@erock.com</t>
  </si>
  <si>
    <t>7e8c56a7-26e4-47b7-905e-a681188e6f08</t>
  </si>
  <si>
    <t>Offboard -SC account</t>
  </si>
  <si>
    <t>acruz-sc@erock.com</t>
  </si>
  <si>
    <t>dcardenas-sc@erock.com</t>
  </si>
  <si>
    <t>dcarns-sc@erock.com</t>
  </si>
  <si>
    <t>jmeleski-sc@erock.com</t>
  </si>
  <si>
    <t>rwilliams-sc@erock.com</t>
  </si>
  <si>
    <t>rortega-sc@erock.com</t>
  </si>
  <si>
    <t>tnorth-sc@erock.com</t>
  </si>
  <si>
    <t>cingram-sc@erock.com</t>
  </si>
  <si>
    <t>tnorris-sc@erock.com</t>
  </si>
  <si>
    <t>n/a</t>
  </si>
  <si>
    <t>Notes</t>
  </si>
  <si>
    <t>Converted License from E5</t>
  </si>
  <si>
    <t>Complete</t>
  </si>
  <si>
    <t>License Complete</t>
  </si>
  <si>
    <t>Device Complete</t>
  </si>
  <si>
    <t>Groups Complete</t>
  </si>
  <si>
    <t>Microsoft 365 Business Premium, Defender Suite for Business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</si>
</sst>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1" applyFill="1" applyAlignment="1">
      <alignment horizontal="center"/>
    </xf>
    <xf numFmtId="0" fontId="4" fillId="2" borderId="0" xfId="0" applyFont="1" applyFill="1"/>
    <xf numFmtId="0" fontId="6" fillId="2" borderId="0" xfId="2" applyFill="1"/>
  </cellXfs>
  <cellStyles count="3">
    <cellStyle name="Hyperlink" xfId="2" builtinId="8"/>
    <cellStyle name="Normal" xfId="0" builtinId="0"/>
    <cellStyle name="Normal 2" xfId="1" xr:uid="{09AA59FC-02FA-41E6-93ED-BE6673DCF9B5}"/>
  </cellStyles>
  <dxfs count="10"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DF923-25A8-490F-94BB-FAF1391DF5BD}" name="Table1" displayName="Table1" ref="A1:O27" totalsRowShown="0" headerRowDxfId="9">
  <autoFilter ref="A1:O27" xr:uid="{28ADF923-25A8-490F-94BB-FAF1391DF5BD}"/>
  <tableColumns count="15">
    <tableColumn id="1" xr3:uid="{E2B6BD7E-FB7C-445D-B459-13FBE42FD0A3}" name="Complete" dataDxfId="8">
      <calculatedColumnFormula>IF(AND(Table1[[#This Row],[Groups Complete]],Table1[[#This Row],[License Complete]],Table1[[#This Row],[Device Complete]]),TRUE,FALSE)</calculatedColumnFormula>
    </tableColumn>
    <tableColumn id="2" xr3:uid="{EB9EEA4D-4A68-426F-9FA9-D933293BDCFB}" name="DisplayName"/>
    <tableColumn id="4" xr3:uid="{88E43C09-B05E-4B93-8497-F8A04D92B388}" name="UPN"/>
    <tableColumn id="3" xr3:uid="{29720B93-12D6-445C-A769-5C8D578F4783}" name="Offboard -SC account" dataDxfId="7"/>
    <tableColumn id="6" xr3:uid="{CBF3F29A-9850-46A1-8DB8-EB90CD7F1ED5}" name="Action"/>
    <tableColumn id="7" xr3:uid="{775C3CE4-DBB4-4963-8991-7AFD8348F168}" name="Status"/>
    <tableColumn id="8" xr3:uid="{3DE09A5F-5298-46F7-A397-80F1ACC8BA8C}" name="UserId"/>
    <tableColumn id="9" xr3:uid="{363EA511-6907-4577-8F44-7FF0401A0222}" name="EmployeeHireDate"/>
    <tableColumn id="12" xr3:uid="{4807C35C-3CFF-45F5-A719-31C731F3DB06}" name="Group Assignments" dataDxfId="6" dataCellStyle="Normal 2"/>
    <tableColumn id="19" xr3:uid="{FB22FAFA-B12F-4E99-B28D-5FE1FF0048F9}" name="Groups Complete" dataDxfId="5" dataCellStyle="Normal 2"/>
    <tableColumn id="13" xr3:uid="{2D8A5319-A92F-41C1-A5EF-23FBC2648B18}" name="License" dataDxfId="4"/>
    <tableColumn id="17" xr3:uid="{32ED11E2-4659-4D76-A366-62D2C02BA86E}" name="License Complete" dataDxfId="3"/>
    <tableColumn id="14" xr3:uid="{E55CA683-9A1A-4A93-896B-A38D874890A2}" name="Device" dataDxfId="2"/>
    <tableColumn id="18" xr3:uid="{4664AD43-117F-4EA1-9F51-5DFD9C1F7AC9}" name="Device Complete" dataDxfId="1"/>
    <tableColumn id="15" xr3:uid="{2E476724-3BB0-49D1-A00A-3513D276FEAE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williams-sc@ero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zoomScaleNormal="100" workbookViewId="0">
      <selection activeCell="H31" sqref="H31"/>
    </sheetView>
  </sheetViews>
  <sheetFormatPr defaultRowHeight="15" x14ac:dyDescent="0.25"/>
  <cols>
    <col min="1" max="1" width="15" customWidth="1"/>
    <col min="2" max="3" width="23.5703125" customWidth="1"/>
    <col min="4" max="4" width="28.7109375" customWidth="1"/>
    <col min="5" max="5" width="9.42578125" customWidth="1"/>
    <col min="6" max="6" width="13.5703125" customWidth="1"/>
    <col min="7" max="7" width="7.42578125" customWidth="1"/>
    <col min="8" max="8" width="11" customWidth="1"/>
    <col min="9" max="9" width="40.85546875" bestFit="1" customWidth="1"/>
    <col min="10" max="10" width="21.85546875" bestFit="1" customWidth="1"/>
    <col min="11" max="11" width="34.85546875" bestFit="1" customWidth="1"/>
    <col min="12" max="12" width="19.140625" bestFit="1" customWidth="1"/>
    <col min="14" max="14" width="18.5703125" bestFit="1" customWidth="1"/>
    <col min="15" max="15" width="24.85546875" bestFit="1" customWidth="1"/>
  </cols>
  <sheetData>
    <row r="1" spans="1:15" x14ac:dyDescent="0.25">
      <c r="A1" s="5" t="s">
        <v>109</v>
      </c>
      <c r="B1" s="1" t="s">
        <v>0</v>
      </c>
      <c r="C1" s="1" t="s">
        <v>1</v>
      </c>
      <c r="D1" s="1" t="s">
        <v>96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112</v>
      </c>
      <c r="K1" s="5" t="s">
        <v>7</v>
      </c>
      <c r="L1" s="5" t="s">
        <v>110</v>
      </c>
      <c r="M1" s="5" t="s">
        <v>8</v>
      </c>
      <c r="N1" s="5" t="s">
        <v>111</v>
      </c>
      <c r="O1" s="5" t="s">
        <v>107</v>
      </c>
    </row>
    <row r="2" spans="1:15" x14ac:dyDescent="0.25">
      <c r="A2" s="6" t="b">
        <f>IF(AND(Table1[[#This Row],[Groups Complete]],Table1[[#This Row],[License Complete]],Table1[[#This Row],[Device Complete]]),TRUE,FALSE)</f>
        <v>1</v>
      </c>
      <c r="B2" t="s">
        <v>9</v>
      </c>
      <c r="C2" t="s">
        <v>10</v>
      </c>
      <c r="D2" t="s">
        <v>97</v>
      </c>
      <c r="E2" t="s">
        <v>11</v>
      </c>
      <c r="F2" t="s">
        <v>12</v>
      </c>
      <c r="G2" t="s">
        <v>13</v>
      </c>
      <c r="H2" t="s">
        <v>14</v>
      </c>
      <c r="I2" s="3" t="s">
        <v>15</v>
      </c>
      <c r="J2" s="3" t="b">
        <v>1</v>
      </c>
      <c r="K2" s="4" t="s">
        <v>113</v>
      </c>
      <c r="L2" s="4" t="b">
        <v>1</v>
      </c>
      <c r="M2" s="4" t="s">
        <v>16</v>
      </c>
      <c r="N2" s="4" t="b">
        <v>1</v>
      </c>
    </row>
    <row r="3" spans="1:15" x14ac:dyDescent="0.25">
      <c r="A3" s="6" t="b">
        <f>IF(AND(Table1[[#This Row],[Groups Complete]],Table1[[#This Row],[License Complete]],Table1[[#This Row],[Device Complete]]),TRUE,FALSE)</f>
        <v>1</v>
      </c>
      <c r="B3" s="4" t="s">
        <v>17</v>
      </c>
      <c r="C3" t="s">
        <v>18</v>
      </c>
      <c r="D3" s="4" t="s">
        <v>106</v>
      </c>
      <c r="E3" t="s">
        <v>11</v>
      </c>
      <c r="F3" t="s">
        <v>12</v>
      </c>
      <c r="G3" t="s">
        <v>19</v>
      </c>
      <c r="H3" t="s">
        <v>14</v>
      </c>
      <c r="I3" s="3" t="s">
        <v>15</v>
      </c>
      <c r="J3" s="3" t="b">
        <v>1</v>
      </c>
      <c r="K3" s="4" t="s">
        <v>113</v>
      </c>
      <c r="L3" s="4" t="b">
        <v>1</v>
      </c>
      <c r="M3" s="4" t="s">
        <v>16</v>
      </c>
      <c r="N3" s="4" t="b">
        <v>1</v>
      </c>
    </row>
    <row r="4" spans="1:15" x14ac:dyDescent="0.25">
      <c r="A4" s="7" t="b">
        <f>IF(AND(Table1[[#This Row],[Groups Complete]],Table1[[#This Row],[License Complete]],Table1[[#This Row],[Device Complete]]),TRUE,FALSE)</f>
        <v>1</v>
      </c>
      <c r="B4" s="8" t="s">
        <v>20</v>
      </c>
      <c r="C4" s="8" t="s">
        <v>21</v>
      </c>
      <c r="D4" s="8" t="s">
        <v>98</v>
      </c>
      <c r="E4" s="8" t="s">
        <v>11</v>
      </c>
      <c r="F4" s="8" t="s">
        <v>12</v>
      </c>
      <c r="G4" s="8" t="s">
        <v>22</v>
      </c>
      <c r="H4" s="8" t="s">
        <v>14</v>
      </c>
      <c r="I4" s="9" t="s">
        <v>15</v>
      </c>
      <c r="J4" s="9" t="b">
        <v>1</v>
      </c>
      <c r="K4" s="10" t="s">
        <v>23</v>
      </c>
      <c r="L4" s="10" t="b">
        <v>1</v>
      </c>
      <c r="M4" s="10" t="s">
        <v>24</v>
      </c>
      <c r="N4" s="10" t="b">
        <v>1</v>
      </c>
    </row>
    <row r="5" spans="1:15" x14ac:dyDescent="0.25">
      <c r="A5" s="6" t="b">
        <f>IF(AND(Table1[[#This Row],[Groups Complete]],Table1[[#This Row],[License Complete]],Table1[[#This Row],[Device Complete]]),TRUE,FALSE)</f>
        <v>1</v>
      </c>
      <c r="B5" s="4" t="s">
        <v>25</v>
      </c>
      <c r="C5" t="s">
        <v>26</v>
      </c>
      <c r="D5" t="s">
        <v>99</v>
      </c>
      <c r="E5" t="s">
        <v>11</v>
      </c>
      <c r="F5" t="s">
        <v>12</v>
      </c>
      <c r="G5" t="s">
        <v>27</v>
      </c>
      <c r="H5" t="s">
        <v>14</v>
      </c>
      <c r="I5" s="3" t="s">
        <v>15</v>
      </c>
      <c r="J5" s="3" t="b">
        <v>1</v>
      </c>
      <c r="K5" s="4" t="s">
        <v>113</v>
      </c>
      <c r="L5" s="4" t="b">
        <v>1</v>
      </c>
      <c r="M5" s="4" t="s">
        <v>16</v>
      </c>
      <c r="N5" s="4" t="b">
        <v>1</v>
      </c>
    </row>
    <row r="6" spans="1:15" x14ac:dyDescent="0.25">
      <c r="A6" s="6" t="b">
        <f>IF(AND(Table1[[#This Row],[Groups Complete]],Table1[[#This Row],[License Complete]],Table1[[#This Row],[Device Complete]]),TRUE,FALSE)</f>
        <v>1</v>
      </c>
      <c r="B6" s="4" t="s">
        <v>28</v>
      </c>
      <c r="C6" t="s">
        <v>29</v>
      </c>
      <c r="D6" t="s">
        <v>100</v>
      </c>
      <c r="E6" t="s">
        <v>11</v>
      </c>
      <c r="F6" t="s">
        <v>12</v>
      </c>
      <c r="G6" t="s">
        <v>30</v>
      </c>
      <c r="H6" t="s">
        <v>14</v>
      </c>
      <c r="I6" s="3" t="s">
        <v>15</v>
      </c>
      <c r="J6" s="3" t="b">
        <v>1</v>
      </c>
      <c r="K6" s="4" t="s">
        <v>113</v>
      </c>
      <c r="L6" s="4" t="b">
        <v>1</v>
      </c>
      <c r="M6" s="4" t="s">
        <v>16</v>
      </c>
      <c r="N6" s="4" t="b">
        <v>1</v>
      </c>
    </row>
    <row r="7" spans="1:15" x14ac:dyDescent="0.25">
      <c r="A7" s="7" t="b">
        <f>IF(AND(Table1[[#This Row],[Groups Complete]],Table1[[#This Row],[License Complete]],Table1[[#This Row],[Device Complete]]),TRUE,FALSE)</f>
        <v>1</v>
      </c>
      <c r="B7" s="8" t="s">
        <v>31</v>
      </c>
      <c r="C7" s="8" t="s">
        <v>32</v>
      </c>
      <c r="D7" s="11" t="s">
        <v>101</v>
      </c>
      <c r="E7" s="8" t="s">
        <v>11</v>
      </c>
      <c r="F7" s="8" t="s">
        <v>12</v>
      </c>
      <c r="G7" s="8" t="s">
        <v>33</v>
      </c>
      <c r="H7" s="8" t="s">
        <v>14</v>
      </c>
      <c r="I7" s="9" t="s">
        <v>15</v>
      </c>
      <c r="J7" s="9" t="b">
        <v>1</v>
      </c>
      <c r="K7" s="10" t="s">
        <v>23</v>
      </c>
      <c r="L7" s="10" t="b">
        <v>1</v>
      </c>
      <c r="M7" s="10" t="s">
        <v>24</v>
      </c>
      <c r="N7" s="10" t="b">
        <v>1</v>
      </c>
    </row>
    <row r="8" spans="1:15" x14ac:dyDescent="0.25">
      <c r="A8" s="6" t="b">
        <f>IF(AND(Table1[[#This Row],[Groups Complete]],Table1[[#This Row],[License Complete]],Table1[[#This Row],[Device Complete]]),TRUE,FALSE)</f>
        <v>1</v>
      </c>
      <c r="B8" t="s">
        <v>34</v>
      </c>
      <c r="C8" t="s">
        <v>35</v>
      </c>
      <c r="D8" t="s">
        <v>102</v>
      </c>
      <c r="E8" t="s">
        <v>11</v>
      </c>
      <c r="F8" t="s">
        <v>12</v>
      </c>
      <c r="G8" t="s">
        <v>36</v>
      </c>
      <c r="H8" t="s">
        <v>14</v>
      </c>
      <c r="I8" s="3" t="s">
        <v>15</v>
      </c>
      <c r="J8" s="3" t="b">
        <v>1</v>
      </c>
      <c r="K8" s="4" t="s">
        <v>113</v>
      </c>
      <c r="L8" s="4" t="b">
        <v>1</v>
      </c>
      <c r="M8" s="4" t="s">
        <v>16</v>
      </c>
      <c r="N8" s="4" t="b">
        <v>1</v>
      </c>
    </row>
    <row r="9" spans="1:15" x14ac:dyDescent="0.25">
      <c r="A9" s="6" t="b">
        <f>IF(AND(Table1[[#This Row],[Groups Complete]],Table1[[#This Row],[License Complete]],Table1[[#This Row],[Device Complete]]),TRUE,FALSE)</f>
        <v>1</v>
      </c>
      <c r="B9" s="4" t="s">
        <v>37</v>
      </c>
      <c r="C9" t="s">
        <v>38</v>
      </c>
      <c r="D9" t="s">
        <v>103</v>
      </c>
      <c r="E9" t="s">
        <v>11</v>
      </c>
      <c r="F9" t="s">
        <v>12</v>
      </c>
      <c r="G9" t="s">
        <v>39</v>
      </c>
      <c r="H9" t="s">
        <v>14</v>
      </c>
      <c r="I9" s="3" t="s">
        <v>15</v>
      </c>
      <c r="J9" s="3" t="b">
        <v>1</v>
      </c>
      <c r="K9" s="4" t="s">
        <v>113</v>
      </c>
      <c r="L9" s="4" t="b">
        <v>1</v>
      </c>
      <c r="M9" s="4" t="s">
        <v>16</v>
      </c>
      <c r="N9" s="4" t="b">
        <v>1</v>
      </c>
    </row>
    <row r="10" spans="1:15" x14ac:dyDescent="0.25">
      <c r="A10" s="6" t="b">
        <f>IF(AND(Table1[[#This Row],[Groups Complete]],Table1[[#This Row],[License Complete]],Table1[[#This Row],[Device Complete]]),TRUE,FALSE)</f>
        <v>1</v>
      </c>
      <c r="B10" t="s">
        <v>40</v>
      </c>
      <c r="C10" t="s">
        <v>41</v>
      </c>
      <c r="D10" s="4" t="s">
        <v>106</v>
      </c>
      <c r="E10" t="s">
        <v>42</v>
      </c>
      <c r="F10" t="s">
        <v>43</v>
      </c>
      <c r="G10" t="s">
        <v>44</v>
      </c>
      <c r="H10" t="s">
        <v>14</v>
      </c>
      <c r="I10" s="3" t="s">
        <v>16</v>
      </c>
      <c r="J10" s="3" t="b">
        <v>1</v>
      </c>
      <c r="K10" s="4" t="s">
        <v>113</v>
      </c>
      <c r="L10" s="4" t="b">
        <v>1</v>
      </c>
      <c r="M10" s="4" t="s">
        <v>16</v>
      </c>
      <c r="N10" s="4" t="b">
        <v>1</v>
      </c>
      <c r="O10" s="4" t="s">
        <v>108</v>
      </c>
    </row>
    <row r="11" spans="1:15" x14ac:dyDescent="0.25">
      <c r="A11" s="6" t="b">
        <f>IF(AND(Table1[[#This Row],[Groups Complete]],Table1[[#This Row],[License Complete]],Table1[[#This Row],[Device Complete]]),TRUE,FALSE)</f>
        <v>1</v>
      </c>
      <c r="B11" t="s">
        <v>45</v>
      </c>
      <c r="C11" t="s">
        <v>46</v>
      </c>
      <c r="D11" s="4" t="s">
        <v>106</v>
      </c>
      <c r="E11" t="s">
        <v>11</v>
      </c>
      <c r="F11" t="s">
        <v>12</v>
      </c>
      <c r="G11" t="s">
        <v>47</v>
      </c>
      <c r="H11" t="s">
        <v>14</v>
      </c>
      <c r="I11" s="3" t="s">
        <v>16</v>
      </c>
      <c r="J11" s="3" t="b">
        <v>1</v>
      </c>
      <c r="K11" s="4" t="s">
        <v>113</v>
      </c>
      <c r="L11" s="4" t="b">
        <v>1</v>
      </c>
      <c r="M11" s="4" t="s">
        <v>16</v>
      </c>
      <c r="N11" s="4" t="b">
        <v>1</v>
      </c>
    </row>
    <row r="12" spans="1:15" x14ac:dyDescent="0.25">
      <c r="A12" s="6" t="b">
        <f>IF(AND(Table1[[#This Row],[Groups Complete]],Table1[[#This Row],[License Complete]],Table1[[#This Row],[Device Complete]]),TRUE,FALSE)</f>
        <v>1</v>
      </c>
      <c r="B12" s="4" t="s">
        <v>48</v>
      </c>
      <c r="C12" t="s">
        <v>49</v>
      </c>
      <c r="D12" s="4" t="s">
        <v>106</v>
      </c>
      <c r="E12" t="s">
        <v>11</v>
      </c>
      <c r="F12" t="s">
        <v>12</v>
      </c>
      <c r="G12" t="s">
        <v>50</v>
      </c>
      <c r="H12" t="s">
        <v>14</v>
      </c>
      <c r="I12" s="3" t="s">
        <v>16</v>
      </c>
      <c r="J12" s="3" t="b">
        <v>1</v>
      </c>
      <c r="K12" s="4" t="s">
        <v>113</v>
      </c>
      <c r="L12" s="4" t="b">
        <v>1</v>
      </c>
      <c r="M12" s="4" t="s">
        <v>16</v>
      </c>
      <c r="N12" s="4" t="b">
        <v>1</v>
      </c>
    </row>
    <row r="13" spans="1:15" x14ac:dyDescent="0.25">
      <c r="A13" s="6" t="b">
        <f>IF(AND(Table1[[#This Row],[Groups Complete]],Table1[[#This Row],[License Complete]],Table1[[#This Row],[Device Complete]]),TRUE,FALSE)</f>
        <v>1</v>
      </c>
      <c r="B13" t="s">
        <v>51</v>
      </c>
      <c r="C13" t="s">
        <v>52</v>
      </c>
      <c r="D13" s="4" t="s">
        <v>106</v>
      </c>
      <c r="E13" t="s">
        <v>11</v>
      </c>
      <c r="F13" t="s">
        <v>12</v>
      </c>
      <c r="G13" t="s">
        <v>53</v>
      </c>
      <c r="H13" t="s">
        <v>14</v>
      </c>
      <c r="I13" s="3" t="s">
        <v>16</v>
      </c>
      <c r="J13" s="3" t="b">
        <v>1</v>
      </c>
      <c r="K13" s="4" t="s">
        <v>113</v>
      </c>
      <c r="L13" s="4" t="b">
        <v>1</v>
      </c>
      <c r="M13" s="4" t="s">
        <v>16</v>
      </c>
      <c r="N13" s="4" t="b">
        <v>1</v>
      </c>
    </row>
    <row r="14" spans="1:15" x14ac:dyDescent="0.25">
      <c r="A14" s="6" t="b">
        <f>IF(AND(Table1[[#This Row],[Groups Complete]],Table1[[#This Row],[License Complete]],Table1[[#This Row],[Device Complete]]),TRUE,FALSE)</f>
        <v>1</v>
      </c>
      <c r="B14" s="4" t="s">
        <v>54</v>
      </c>
      <c r="C14" t="s">
        <v>55</v>
      </c>
      <c r="D14" s="4" t="s">
        <v>106</v>
      </c>
      <c r="E14" t="s">
        <v>42</v>
      </c>
      <c r="F14" t="s">
        <v>43</v>
      </c>
      <c r="G14" t="s">
        <v>56</v>
      </c>
      <c r="H14" t="s">
        <v>14</v>
      </c>
      <c r="I14" s="3" t="s">
        <v>16</v>
      </c>
      <c r="J14" s="3" t="b">
        <v>1</v>
      </c>
      <c r="K14" s="4" t="s">
        <v>113</v>
      </c>
      <c r="L14" s="4" t="b">
        <v>1</v>
      </c>
      <c r="M14" s="4" t="s">
        <v>16</v>
      </c>
      <c r="N14" s="4" t="b">
        <v>1</v>
      </c>
    </row>
    <row r="15" spans="1:15" x14ac:dyDescent="0.25">
      <c r="A15" s="7" t="b">
        <f>IF(AND(Table1[[#This Row],[Groups Complete]],Table1[[#This Row],[License Complete]],Table1[[#This Row],[Device Complete]]),TRUE,FALSE)</f>
        <v>1</v>
      </c>
      <c r="B15" s="8" t="s">
        <v>57</v>
      </c>
      <c r="C15" s="8" t="s">
        <v>58</v>
      </c>
      <c r="D15" s="8" t="s">
        <v>104</v>
      </c>
      <c r="E15" s="8" t="s">
        <v>11</v>
      </c>
      <c r="F15" s="8" t="s">
        <v>12</v>
      </c>
      <c r="G15" s="8" t="s">
        <v>59</v>
      </c>
      <c r="H15" s="8" t="s">
        <v>14</v>
      </c>
      <c r="I15" s="9" t="s">
        <v>15</v>
      </c>
      <c r="J15" s="9" t="b">
        <v>1</v>
      </c>
      <c r="K15" s="10" t="s">
        <v>23</v>
      </c>
      <c r="L15" s="10" t="b">
        <v>1</v>
      </c>
      <c r="M15" s="10" t="s">
        <v>24</v>
      </c>
      <c r="N15" s="10" t="b">
        <v>1</v>
      </c>
    </row>
    <row r="16" spans="1:15" x14ac:dyDescent="0.25">
      <c r="A16" s="6" t="b">
        <f>IF(AND(Table1[[#This Row],[Groups Complete]],Table1[[#This Row],[License Complete]],Table1[[#This Row],[Device Complete]]),TRUE,FALSE)</f>
        <v>1</v>
      </c>
      <c r="B16" t="s">
        <v>60</v>
      </c>
      <c r="C16" t="s">
        <v>61</v>
      </c>
      <c r="D16" t="s">
        <v>105</v>
      </c>
      <c r="E16" t="s">
        <v>11</v>
      </c>
      <c r="F16" t="s">
        <v>12</v>
      </c>
      <c r="G16" t="s">
        <v>62</v>
      </c>
      <c r="H16" t="s">
        <v>14</v>
      </c>
      <c r="I16" s="3" t="s">
        <v>15</v>
      </c>
      <c r="J16" s="3" t="b">
        <v>1</v>
      </c>
      <c r="K16" s="4" t="s">
        <v>113</v>
      </c>
      <c r="L16" s="4" t="b">
        <v>1</v>
      </c>
      <c r="M16" s="4" t="s">
        <v>16</v>
      </c>
      <c r="N16" s="4" t="b">
        <v>1</v>
      </c>
    </row>
    <row r="17" spans="1:14" x14ac:dyDescent="0.25">
      <c r="A17" s="6" t="b">
        <f>IF(AND(Table1[[#This Row],[Groups Complete]],Table1[[#This Row],[License Complete]],Table1[[#This Row],[Device Complete]]),TRUE,FALSE)</f>
        <v>1</v>
      </c>
      <c r="B17" t="s">
        <v>63</v>
      </c>
      <c r="C17" t="s">
        <v>64</v>
      </c>
      <c r="D17" s="4" t="s">
        <v>106</v>
      </c>
      <c r="E17" t="s">
        <v>11</v>
      </c>
      <c r="F17" t="s">
        <v>12</v>
      </c>
      <c r="G17" t="s">
        <v>65</v>
      </c>
      <c r="H17" t="s">
        <v>14</v>
      </c>
      <c r="I17" s="3" t="s">
        <v>16</v>
      </c>
      <c r="J17" s="3" t="b">
        <v>1</v>
      </c>
      <c r="K17" s="4" t="s">
        <v>113</v>
      </c>
      <c r="L17" s="4" t="b">
        <v>1</v>
      </c>
      <c r="M17" s="4" t="s">
        <v>16</v>
      </c>
      <c r="N17" s="4" t="b">
        <v>1</v>
      </c>
    </row>
    <row r="18" spans="1:14" x14ac:dyDescent="0.25">
      <c r="A18" s="6" t="b">
        <f>IF(AND(Table1[[#This Row],[Groups Complete]],Table1[[#This Row],[License Complete]],Table1[[#This Row],[Device Complete]]),TRUE,FALSE)</f>
        <v>1</v>
      </c>
      <c r="B18" t="s">
        <v>66</v>
      </c>
      <c r="C18" t="s">
        <v>67</v>
      </c>
      <c r="D18" s="4" t="s">
        <v>106</v>
      </c>
      <c r="E18" t="s">
        <v>11</v>
      </c>
      <c r="F18" t="s">
        <v>12</v>
      </c>
      <c r="G18" t="s">
        <v>68</v>
      </c>
      <c r="H18" t="s">
        <v>14</v>
      </c>
      <c r="I18" s="3" t="s">
        <v>16</v>
      </c>
      <c r="J18" s="3" t="b">
        <v>1</v>
      </c>
      <c r="K18" s="4" t="s">
        <v>113</v>
      </c>
      <c r="L18" s="4" t="b">
        <v>1</v>
      </c>
      <c r="M18" s="4" t="s">
        <v>16</v>
      </c>
      <c r="N18" s="4" t="b">
        <v>1</v>
      </c>
    </row>
    <row r="19" spans="1:14" x14ac:dyDescent="0.25">
      <c r="A19" s="6" t="b">
        <f>IF(AND(Table1[[#This Row],[Groups Complete]],Table1[[#This Row],[License Complete]],Table1[[#This Row],[Device Complete]]),TRUE,FALSE)</f>
        <v>1</v>
      </c>
      <c r="B19" t="s">
        <v>69</v>
      </c>
      <c r="C19" t="s">
        <v>70</v>
      </c>
      <c r="D19" s="4" t="s">
        <v>106</v>
      </c>
      <c r="E19" t="s">
        <v>11</v>
      </c>
      <c r="F19" t="s">
        <v>12</v>
      </c>
      <c r="G19" t="s">
        <v>71</v>
      </c>
      <c r="H19" t="s">
        <v>14</v>
      </c>
      <c r="I19" s="3" t="s">
        <v>16</v>
      </c>
      <c r="J19" s="3" t="b">
        <v>1</v>
      </c>
      <c r="K19" s="4" t="s">
        <v>113</v>
      </c>
      <c r="L19" s="4" t="b">
        <v>1</v>
      </c>
      <c r="M19" s="4" t="s">
        <v>16</v>
      </c>
      <c r="N19" s="4" t="b">
        <v>1</v>
      </c>
    </row>
    <row r="20" spans="1:14" x14ac:dyDescent="0.25">
      <c r="A20" s="6" t="b">
        <f>IF(AND(Table1[[#This Row],[Groups Complete]],Table1[[#This Row],[License Complete]],Table1[[#This Row],[Device Complete]]),TRUE,FALSE)</f>
        <v>1</v>
      </c>
      <c r="B20" t="s">
        <v>72</v>
      </c>
      <c r="C20" t="s">
        <v>73</v>
      </c>
      <c r="D20" s="4" t="s">
        <v>106</v>
      </c>
      <c r="E20" t="s">
        <v>11</v>
      </c>
      <c r="F20" t="s">
        <v>12</v>
      </c>
      <c r="G20" t="s">
        <v>74</v>
      </c>
      <c r="H20" t="s">
        <v>14</v>
      </c>
      <c r="I20" s="3" t="s">
        <v>16</v>
      </c>
      <c r="J20" s="3" t="b">
        <v>1</v>
      </c>
      <c r="K20" s="4" t="s">
        <v>113</v>
      </c>
      <c r="L20" s="4" t="b">
        <v>1</v>
      </c>
      <c r="M20" s="4" t="s">
        <v>16</v>
      </c>
      <c r="N20" s="4" t="b">
        <v>1</v>
      </c>
    </row>
    <row r="21" spans="1:14" x14ac:dyDescent="0.25">
      <c r="A21" s="6" t="b">
        <f>IF(AND(Table1[[#This Row],[Groups Complete]],Table1[[#This Row],[License Complete]],Table1[[#This Row],[Device Complete]]),TRUE,FALSE)</f>
        <v>1</v>
      </c>
      <c r="B21" t="s">
        <v>75</v>
      </c>
      <c r="C21" t="s">
        <v>76</v>
      </c>
      <c r="D21" s="4" t="s">
        <v>106</v>
      </c>
      <c r="E21" t="s">
        <v>11</v>
      </c>
      <c r="F21" t="s">
        <v>12</v>
      </c>
      <c r="G21" t="s">
        <v>77</v>
      </c>
      <c r="H21" t="s">
        <v>14</v>
      </c>
      <c r="I21" s="3" t="s">
        <v>16</v>
      </c>
      <c r="J21" s="3" t="b">
        <v>1</v>
      </c>
      <c r="K21" s="4" t="s">
        <v>113</v>
      </c>
      <c r="L21" s="4" t="b">
        <v>1</v>
      </c>
      <c r="M21" s="4" t="s">
        <v>16</v>
      </c>
      <c r="N21" s="4" t="b">
        <v>1</v>
      </c>
    </row>
    <row r="22" spans="1:14" x14ac:dyDescent="0.25">
      <c r="A22" s="6" t="b">
        <f>IF(AND(Table1[[#This Row],[Groups Complete]],Table1[[#This Row],[License Complete]],Table1[[#This Row],[Device Complete]]),TRUE,FALSE)</f>
        <v>1</v>
      </c>
      <c r="B22" t="s">
        <v>78</v>
      </c>
      <c r="C22" t="s">
        <v>79</v>
      </c>
      <c r="D22" s="4" t="s">
        <v>106</v>
      </c>
      <c r="E22" t="s">
        <v>11</v>
      </c>
      <c r="F22" t="s">
        <v>12</v>
      </c>
      <c r="G22" t="s">
        <v>80</v>
      </c>
      <c r="H22" t="s">
        <v>14</v>
      </c>
      <c r="I22" s="3" t="s">
        <v>16</v>
      </c>
      <c r="J22" s="3" t="b">
        <v>1</v>
      </c>
      <c r="K22" s="4" t="s">
        <v>113</v>
      </c>
      <c r="L22" s="4" t="b">
        <v>1</v>
      </c>
      <c r="M22" s="4" t="s">
        <v>16</v>
      </c>
      <c r="N22" s="4" t="b">
        <v>1</v>
      </c>
    </row>
    <row r="23" spans="1:14" x14ac:dyDescent="0.25">
      <c r="A23" s="6" t="b">
        <f>IF(AND(Table1[[#This Row],[Groups Complete]],Table1[[#This Row],[License Complete]],Table1[[#This Row],[Device Complete]]),TRUE,FALSE)</f>
        <v>1</v>
      </c>
      <c r="B23" t="s">
        <v>81</v>
      </c>
      <c r="C23" t="s">
        <v>82</v>
      </c>
      <c r="D23" s="4" t="s">
        <v>106</v>
      </c>
      <c r="E23" t="s">
        <v>11</v>
      </c>
      <c r="F23" t="s">
        <v>12</v>
      </c>
      <c r="G23" t="s">
        <v>83</v>
      </c>
      <c r="H23" t="s">
        <v>14</v>
      </c>
      <c r="I23" s="3" t="s">
        <v>16</v>
      </c>
      <c r="J23" s="3" t="b">
        <v>1</v>
      </c>
      <c r="K23" s="4" t="s">
        <v>113</v>
      </c>
      <c r="L23" s="4" t="b">
        <v>1</v>
      </c>
      <c r="M23" s="4" t="s">
        <v>16</v>
      </c>
      <c r="N23" s="4" t="b">
        <v>1</v>
      </c>
    </row>
    <row r="24" spans="1:14" x14ac:dyDescent="0.25">
      <c r="A24" s="6" t="b">
        <f>IF(AND(Table1[[#This Row],[Groups Complete]],Table1[[#This Row],[License Complete]],Table1[[#This Row],[Device Complete]]),TRUE,FALSE)</f>
        <v>1</v>
      </c>
      <c r="B24" t="s">
        <v>84</v>
      </c>
      <c r="C24" t="s">
        <v>85</v>
      </c>
      <c r="D24" s="4" t="s">
        <v>106</v>
      </c>
      <c r="E24" t="s">
        <v>11</v>
      </c>
      <c r="F24" t="s">
        <v>12</v>
      </c>
      <c r="G24" t="s">
        <v>86</v>
      </c>
      <c r="H24" t="s">
        <v>14</v>
      </c>
      <c r="I24" s="3" t="s">
        <v>16</v>
      </c>
      <c r="J24" s="3" t="b">
        <v>1</v>
      </c>
      <c r="K24" s="4" t="s">
        <v>113</v>
      </c>
      <c r="L24" s="4" t="b">
        <v>1</v>
      </c>
      <c r="M24" s="4" t="s">
        <v>16</v>
      </c>
      <c r="N24" s="4" t="b">
        <v>1</v>
      </c>
    </row>
    <row r="25" spans="1:14" x14ac:dyDescent="0.25">
      <c r="A25" s="6" t="b">
        <f>IF(AND(Table1[[#This Row],[Groups Complete]],Table1[[#This Row],[License Complete]],Table1[[#This Row],[Device Complete]]),TRUE,FALSE)</f>
        <v>1</v>
      </c>
      <c r="B25" s="4" t="s">
        <v>87</v>
      </c>
      <c r="C25" t="s">
        <v>88</v>
      </c>
      <c r="D25" s="4" t="s">
        <v>106</v>
      </c>
      <c r="E25" t="s">
        <v>11</v>
      </c>
      <c r="F25" t="s">
        <v>12</v>
      </c>
      <c r="G25" t="s">
        <v>89</v>
      </c>
      <c r="H25" t="s">
        <v>14</v>
      </c>
      <c r="I25" s="3" t="s">
        <v>16</v>
      </c>
      <c r="J25" s="3" t="b">
        <v>1</v>
      </c>
      <c r="K25" s="4" t="s">
        <v>113</v>
      </c>
      <c r="L25" s="4" t="b">
        <v>1</v>
      </c>
      <c r="M25" s="4" t="s">
        <v>16</v>
      </c>
      <c r="N25" s="4" t="b">
        <v>1</v>
      </c>
    </row>
    <row r="26" spans="1:14" x14ac:dyDescent="0.25">
      <c r="A26" s="6" t="b">
        <f>IF(AND(Table1[[#This Row],[Groups Complete]],Table1[[#This Row],[License Complete]],Table1[[#This Row],[Device Complete]]),TRUE,FALSE)</f>
        <v>1</v>
      </c>
      <c r="B26" t="s">
        <v>90</v>
      </c>
      <c r="C26" t="s">
        <v>91</v>
      </c>
      <c r="D26" s="4" t="s">
        <v>106</v>
      </c>
      <c r="E26" t="s">
        <v>11</v>
      </c>
      <c r="F26" t="s">
        <v>12</v>
      </c>
      <c r="G26" t="s">
        <v>92</v>
      </c>
      <c r="H26" t="s">
        <v>14</v>
      </c>
      <c r="I26" s="3" t="s">
        <v>16</v>
      </c>
      <c r="J26" s="3" t="b">
        <v>1</v>
      </c>
      <c r="K26" s="4" t="s">
        <v>113</v>
      </c>
      <c r="L26" s="4" t="b">
        <v>1</v>
      </c>
      <c r="M26" s="4" t="s">
        <v>16</v>
      </c>
      <c r="N26" s="4" t="b">
        <v>1</v>
      </c>
    </row>
    <row r="27" spans="1:14" x14ac:dyDescent="0.25">
      <c r="A27" s="6" t="b">
        <f>IF(AND(Table1[[#This Row],[Groups Complete]],Table1[[#This Row],[License Complete]],Table1[[#This Row],[Device Complete]]),TRUE,FALSE)</f>
        <v>1</v>
      </c>
      <c r="B27" t="s">
        <v>93</v>
      </c>
      <c r="C27" t="s">
        <v>94</v>
      </c>
      <c r="D27" s="4" t="s">
        <v>106</v>
      </c>
      <c r="E27" t="s">
        <v>11</v>
      </c>
      <c r="F27" t="s">
        <v>12</v>
      </c>
      <c r="G27" t="s">
        <v>95</v>
      </c>
      <c r="H27" t="s">
        <v>14</v>
      </c>
      <c r="I27" s="3" t="s">
        <v>16</v>
      </c>
      <c r="J27" s="3" t="b">
        <v>1</v>
      </c>
      <c r="K27" s="4" t="s">
        <v>113</v>
      </c>
      <c r="L27" s="4" t="b">
        <v>1</v>
      </c>
      <c r="M27" s="4" t="s">
        <v>16</v>
      </c>
      <c r="N27" s="4" t="b">
        <v>1</v>
      </c>
    </row>
  </sheetData>
  <conditionalFormatting sqref="A2:O27">
    <cfRule type="expression" dxfId="0" priority="1">
      <formula>$A2</formula>
    </cfRule>
  </conditionalFormatting>
  <hyperlinks>
    <hyperlink ref="D7" r:id="rId1" xr:uid="{DBE076BD-A50B-4162-A00D-310576740265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BB9EB8EB68249AE7C19824EBF6E5E" ma:contentTypeVersion="21" ma:contentTypeDescription="Create a new document." ma:contentTypeScope="" ma:versionID="6fa494c45b2bbb5b2cce70fae6358c81">
  <xsd:schema xmlns:xsd="http://www.w3.org/2001/XMLSchema" xmlns:xs="http://www.w3.org/2001/XMLSchema" xmlns:p="http://schemas.microsoft.com/office/2006/metadata/properties" xmlns:ns1="http://schemas.microsoft.com/sharepoint/v3" xmlns:ns2="86f3474f-fa40-444e-b599-6eaf48fa04cd" xmlns:ns3="41d52a92-4f00-4cfd-bca9-921c1f47b37b" targetNamespace="http://schemas.microsoft.com/office/2006/metadata/properties" ma:root="true" ma:fieldsID="d7973f0efc8bf2185ce55fbd6fd38eb3" ns1:_="" ns2:_="" ns3:_="">
    <xsd:import namespace="http://schemas.microsoft.com/sharepoint/v3"/>
    <xsd:import namespace="86f3474f-fa40-444e-b599-6eaf48fa04cd"/>
    <xsd:import namespace="41d52a92-4f00-4cfd-bca9-921c1f47b3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3474f-fa40-444e-b599-6eaf48fa04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eb14c0-6b54-45f6-a8e7-1a9c2541fb56}" ma:internalName="TaxCatchAll" ma:showField="CatchAllData" ma:web="86f3474f-fa40-444e-b599-6eaf48fa0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52a92-4f00-4cfd-bca9-921c1f47b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deed73-5474-45ea-b895-8e3ee5f95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f3474f-fa40-444e-b599-6eaf48fa04cd" xsi:nil="true"/>
    <_ip_UnifiedCompliancePolicyUIAction xmlns="http://schemas.microsoft.com/sharepoint/v3" xsi:nil="true"/>
    <lcf76f155ced4ddcb4097134ff3c332f xmlns="41d52a92-4f00-4cfd-bca9-921c1f47b37b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3F37D-EF95-4BF2-A364-9D52C13C0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6f3474f-fa40-444e-b599-6eaf48fa04cd"/>
    <ds:schemaRef ds:uri="41d52a92-4f00-4cfd-bca9-921c1f47b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E9791-D96D-4C64-B7D7-061C52E9D3CF}">
  <ds:schemaRefs>
    <ds:schemaRef ds:uri="http://schemas.microsoft.com/sharepoint/v3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1d52a92-4f00-4cfd-bca9-921c1f47b37b"/>
    <ds:schemaRef ds:uri="86f3474f-fa40-444e-b599-6eaf48fa04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651A8CA-1B90-4BF5-AB42-493EF645D5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Dakota Ruhl</dc:creator>
  <cp:keywords/>
  <dc:description/>
  <cp:lastModifiedBy>Dakota Ruhl</cp:lastModifiedBy>
  <cp:revision/>
  <dcterms:created xsi:type="dcterms:W3CDTF">2026-09-17T21:02:25Z</dcterms:created>
  <dcterms:modified xsi:type="dcterms:W3CDTF">2026-09-21T17:46:46Z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0x0101009EBBB9EB8EB68249AE7C19824EBF6E5E</vt:lpwstr>
  </property>
  <property fmtid="{D5CDD505-2E9C-101B-9397-08002B2CF9AE}" pid="3" name="MediaServiceImageTags">
    <vt:lpwstr/>
  </property>
  <property fmtid="{D5CDD505-2E9C-101B-9397-08002B2CF9AE}" pid="4" name="MSIP_Label_1c0eeaa0-3eec-4f21-bed8-7e224013e4f3_Enabled">
    <vt:lpwstr>true</vt:lpwstr>
  </property>
  <property fmtid="{D5CDD505-2E9C-101B-9397-08002B2CF9AE}" pid="5" name="MSIP_Label_1c0eeaa0-3eec-4f21-bed8-7e224013e4f3_SetDate">
    <vt:lpwstr>2026-09-18T12:02:41Z</vt:lpwstr>
  </property>
  <property fmtid="{D5CDD505-2E9C-101B-9397-08002B2CF9AE}" pid="6" name="MSIP_Label_1c0eeaa0-3eec-4f21-bed8-7e224013e4f3_Method">
    <vt:lpwstr>Standard</vt:lpwstr>
  </property>
  <property fmtid="{D5CDD505-2E9C-101B-9397-08002B2CF9AE}" pid="7" name="MSIP_Label_1c0eeaa0-3eec-4f21-bed8-7e224013e4f3_Name">
    <vt:lpwstr>General</vt:lpwstr>
  </property>
  <property fmtid="{D5CDD505-2E9C-101B-9397-08002B2CF9AE}" pid="8" name="MSIP_Label_1c0eeaa0-3eec-4f21-bed8-7e224013e4f3_SiteId">
    <vt:lpwstr>0bdf0e1f-a359-4b5c-9b79-9357e35ff8c6</vt:lpwstr>
  </property>
  <property fmtid="{D5CDD505-2E9C-101B-9397-08002B2CF9AE}" pid="9" name="MSIP_Label_1c0eeaa0-3eec-4f21-bed8-7e224013e4f3_ActionId">
    <vt:lpwstr>f97748c2-a90b-4272-af17-24014be9fcd0</vt:lpwstr>
  </property>
  <property fmtid="{D5CDD505-2E9C-101B-9397-08002B2CF9AE}" pid="10" name="MSIP_Label_1c0eeaa0-3eec-4f21-bed8-7e224013e4f3_ContentBits">
    <vt:lpwstr>0</vt:lpwstr>
  </property>
  <property fmtid="{D5CDD505-2E9C-101B-9397-08002B2CF9AE}" pid="11" name="MSIP_Label_1c0eeaa0-3eec-4f21-bed8-7e224013e4f3_Tag">
    <vt:lpwstr>10, 3, 0, 2</vt:lpwstr>
  </property>
</Properties>
</file>